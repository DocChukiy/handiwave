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Recruitment Funnel" sheetId="2" r:id="rId2"/>
    <sheet name="Dashboard" sheetId="3" r:id="rId3"/>
    <sheet name="Verification Log" sheetId="4" r:id="rId4"/>
    <sheet name="Source Performance" sheetId="5" r:id="rId5"/>
    <sheet name="Lists" sheetId="6" state="hidden" r:id="rId6"/>
  </sheets>
  <definedNames>
    <definedName name="_xlnm._FilterDatabase" localSheetId="1" hidden="1">'Recruitment Funnel'!$A$1:$X$501</definedName>
    <definedName name="CheckList">Lists!$D$2:$D$6</definedName>
    <definedName name="SourceList">Lists!$E$2:$E$11</definedName>
    <definedName name="StageList">Lists!$A$2:$A$12</definedName>
    <definedName name="TradeList">Lists!$B$2:$B$10</definedName>
    <definedName name="VerificationTypeList">Lists!$F$2:$F$14</definedName>
    <definedName name="YesNoList">Lists!$C$2:$C$3</definedName>
  </definedNames>
  <calcPr calcId="124519" fullCalcOnLoad="1"/>
</workbook>
</file>

<file path=xl/sharedStrings.xml><?xml version="1.0" encoding="utf-8"?>
<sst xmlns="http://schemas.openxmlformats.org/spreadsheetml/2006/main" count="143" uniqueCount="119">
  <si>
    <t>HANDIWAVE KADUNA RECRUITMENT FUNNEL</t>
  </si>
  <si>
    <t>Pilot area</t>
  </si>
  <si>
    <t>Barnawa–Narayi corridor, Kaduna South</t>
  </si>
  <si>
    <t>Tracked flyer link</t>
  </si>
  <si>
    <t>https://handiwave.com.ng/go/kaduna</t>
  </si>
  <si>
    <t>How to use</t>
  </si>
  <si>
    <t>1.</t>
  </si>
  <si>
    <t>Add one applicant per row in Recruitment Funnel. Do not duplicate a person when their stage changes.</t>
  </si>
  <si>
    <t>2.</t>
  </si>
  <si>
    <t>Update Current Stage and Next Action after every contact. Dashboard totals update automatically.</t>
  </si>
  <si>
    <t>3.</t>
  </si>
  <si>
    <t>Use Verification Log for evidence outcomes; store sensitive documents only in an approved restricted system, not in this workbook.</t>
  </si>
  <si>
    <t>4.</t>
  </si>
  <si>
    <t>Use a unique Source Code on every flyer batch, recruiter, association, or shop partner.</t>
  </si>
  <si>
    <t>5.</t>
  </si>
  <si>
    <t>Activate a professional only after all required checks pass and the phone demonstration is completed.</t>
  </si>
  <si>
    <t>Privacy rule</t>
  </si>
  <si>
    <t>Track outcomes and document references here. Do not embed ID images, selfies, bank details, or private customer photos in this workbook.</t>
  </si>
  <si>
    <t>Applicant ID</t>
  </si>
  <si>
    <t>Date Added</t>
  </si>
  <si>
    <t>Full Name</t>
  </si>
  <si>
    <t>Phone</t>
  </si>
  <si>
    <t>Email</t>
  </si>
  <si>
    <t>Primary Trade</t>
  </si>
  <si>
    <t>Other Trade</t>
  </si>
  <si>
    <t>Base Location</t>
  </si>
  <si>
    <t>Can Serve Barnawa–Narayi?</t>
  </si>
  <si>
    <t>Source Type</t>
  </si>
  <si>
    <t>Source Code</t>
  </si>
  <si>
    <t>Recruiter</t>
  </si>
  <si>
    <t>Current Stage</t>
  </si>
  <si>
    <t>Last Contact</t>
  </si>
  <si>
    <t>Next Action</t>
  </si>
  <si>
    <t>Next Action Date</t>
  </si>
  <si>
    <t>Consent Recorded?</t>
  </si>
  <si>
    <t>Identity</t>
  </si>
  <si>
    <t>References</t>
  </si>
  <si>
    <t>Work Samples</t>
  </si>
  <si>
    <t>Skill Check</t>
  </si>
  <si>
    <t>Phone Demo</t>
  </si>
  <si>
    <t>Activation Date</t>
  </si>
  <si>
    <t>Notes</t>
  </si>
  <si>
    <t>KADUNA FOUNDING PROFESSIONALS DASHBOARD</t>
  </si>
  <si>
    <t>Pilot</t>
  </si>
  <si>
    <t>Barnawa–Narayi corridor | Target: 20 approved and active professionals</t>
  </si>
  <si>
    <t>Applicants</t>
  </si>
  <si>
    <t>Contacted</t>
  </si>
  <si>
    <t>Applications complete</t>
  </si>
  <si>
    <t>Verified</t>
  </si>
  <si>
    <t>Activated</t>
  </si>
  <si>
    <t>Activation rate</t>
  </si>
  <si>
    <t>Stage</t>
  </si>
  <si>
    <t>Count</t>
  </si>
  <si>
    <t>Lead added</t>
  </si>
  <si>
    <t>Interested</t>
  </si>
  <si>
    <t>Application started</t>
  </si>
  <si>
    <t>Application complete</t>
  </si>
  <si>
    <t>Verification scheduled</t>
  </si>
  <si>
    <t>Verification in progress</t>
  </si>
  <si>
    <t>Training complete</t>
  </si>
  <si>
    <t>Not approved</t>
  </si>
  <si>
    <t>Withdrawn</t>
  </si>
  <si>
    <t>Decision checks</t>
  </si>
  <si>
    <t>Result</t>
  </si>
  <si>
    <t>Activated target</t>
  </si>
  <si>
    <t>Consent missing</t>
  </si>
  <si>
    <t>Overdue next actions</t>
  </si>
  <si>
    <t>Outside service cell</t>
  </si>
  <si>
    <t>Check Type</t>
  </si>
  <si>
    <t>Outcome</t>
  </si>
  <si>
    <t>Checked Date</t>
  </si>
  <si>
    <t>Reviewer</t>
  </si>
  <si>
    <t>Evidence Reference</t>
  </si>
  <si>
    <t>Expiry / Recheck Date</t>
  </si>
  <si>
    <t>Reason / Notes</t>
  </si>
  <si>
    <t>Partner / Recruiter</t>
  </si>
  <si>
    <t>Flyers / Contacts</t>
  </si>
  <si>
    <t>Activation Rate</t>
  </si>
  <si>
    <t>StageList</t>
  </si>
  <si>
    <t>TradeList</t>
  </si>
  <si>
    <t>Electrician</t>
  </si>
  <si>
    <t>Solar / inverter</t>
  </si>
  <si>
    <t>Plumber</t>
  </si>
  <si>
    <t>AC / refrigeration</t>
  </si>
  <si>
    <t>Generator technician</t>
  </si>
  <si>
    <t>Cleaner</t>
  </si>
  <si>
    <t>Carpenter</t>
  </si>
  <si>
    <t>General handyman</t>
  </si>
  <si>
    <t>Other</t>
  </si>
  <si>
    <t>YesNoList</t>
  </si>
  <si>
    <t>Yes</t>
  </si>
  <si>
    <t>No</t>
  </si>
  <si>
    <t>CheckList</t>
  </si>
  <si>
    <t>Pending</t>
  </si>
  <si>
    <t>Passed</t>
  </si>
  <si>
    <t>Needs review</t>
  </si>
  <si>
    <t>Failed</t>
  </si>
  <si>
    <t>Not applicable</t>
  </si>
  <si>
    <t>SourceList</t>
  </si>
  <si>
    <t>Flyer QR</t>
  </si>
  <si>
    <t>Old Panteka</t>
  </si>
  <si>
    <t>Trade shop</t>
  </si>
  <si>
    <t>Association</t>
  </si>
  <si>
    <t>Training centre</t>
  </si>
  <si>
    <t>Professional referral</t>
  </si>
  <si>
    <t>Community group</t>
  </si>
  <si>
    <t>Walk-in</t>
  </si>
  <si>
    <t>VerificationTypeList</t>
  </si>
  <si>
    <t>Identity document</t>
  </si>
  <si>
    <t>Live selfie</t>
  </si>
  <si>
    <t>Operating address</t>
  </si>
  <si>
    <t>Customer reference 1</t>
  </si>
  <si>
    <t>Customer reference 2</t>
  </si>
  <si>
    <t>Work samples</t>
  </si>
  <si>
    <t>Bank-name match</t>
  </si>
  <si>
    <t>Technical reference</t>
  </si>
  <si>
    <t>Practical check</t>
  </si>
  <si>
    <t>Conduct briefing</t>
  </si>
  <si>
    <t>Phone demonstration</t>
  </si>
</sst>
</file>

<file path=xl/styles.xml><?xml version="1.0" encoding="utf-8"?>
<styleSheet xmlns="http://schemas.openxmlformats.org/spreadsheetml/2006/main">
  <numFmts count="2">
    <numFmt numFmtId="164" formatCode="dd mmm yyyy"/>
    <numFmt numFmtId="165" formatCode="0%"/>
  </numFmts>
  <fonts count="8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064E3B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1"/>
      <color rgb="FF64748B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0F172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64E3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DCEFE4"/>
      </left>
      <right style="thin">
        <color rgb="FFDCEFE4"/>
      </right>
      <top style="thin">
        <color rgb="FFDCEFE4"/>
      </top>
      <bottom style="thin">
        <color rgb="FFDCEFE4"/>
      </bottom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thin">
        <color rgb="FF15803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/>
    <xf numFmtId="0" fontId="3" fillId="0" borderId="0" xfId="0" applyFont="1" applyAlignment="1">
      <alignment vertical="top"/>
    </xf>
    <xf numFmtId="0" fontId="4" fillId="0" borderId="0" xfId="0" applyFont="1"/>
    <xf numFmtId="0" fontId="5" fillId="0" borderId="0" xfId="0" applyFont="1" applyAlignment="1">
      <alignment vertical="top" wrapText="1"/>
    </xf>
    <xf numFmtId="164" fontId="0" fillId="0" borderId="0" xfId="0" applyNumberFormat="1"/>
    <xf numFmtId="0" fontId="6" fillId="4" borderId="2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3">
    <dxf>
      <font>
        <color rgb="FF064E3B"/>
      </font>
      <fill>
        <patternFill>
          <bgColor rgb="FFDCFCE7"/>
        </patternFill>
      </fill>
    </dxf>
    <dxf>
      <font>
        <color rgb="FFEF4444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Recruitment funnel by stage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Applicants</c:v>
          </c:tx>
          <c:spPr>
            <a:solidFill>
              <a:srgbClr val="16A34A"/>
            </a:solidFill>
            <a:ln>
              <a:noFill/>
            </a:ln>
          </c:spPr>
          <c:cat>
            <c:strRef>
              <c:f>Dashboard!$B$11:$B$19</c:f>
              <c:strCache>
                <c:ptCount val="9"/>
                <c:pt idx="0">
                  <c:v>Lead added</c:v>
                </c:pt>
                <c:pt idx="1">
                  <c:v>Contacted</c:v>
                </c:pt>
                <c:pt idx="2">
                  <c:v>Interested</c:v>
                </c:pt>
                <c:pt idx="3">
                  <c:v>Application started</c:v>
                </c:pt>
                <c:pt idx="4">
                  <c:v>Application complete</c:v>
                </c:pt>
                <c:pt idx="5">
                  <c:v>Verification scheduled</c:v>
                </c:pt>
                <c:pt idx="6">
                  <c:v>Verification in progress</c:v>
                </c:pt>
                <c:pt idx="7">
                  <c:v>Training complete</c:v>
                </c:pt>
                <c:pt idx="8">
                  <c:v>Activated</c:v>
                </c:pt>
              </c:strCache>
            </c:strRef>
          </c:cat>
          <c:val>
            <c:numRef>
              <c:f>Dashboard!$C$11:$C$19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0</xdr:rowOff>
    </xdr:from>
    <xdr:to>
      <xdr:col>9</xdr:col>
      <xdr:colOff>295275</xdr:colOff>
      <xdr:row>30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andiwave.com.ng/go/kaduna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4"/>
  <sheetViews>
    <sheetView showGridLines="0" tabSelected="1" workbookViewId="0"/>
  </sheetViews>
  <sheetFormatPr defaultRowHeight="15"/>
  <cols>
    <col min="1" max="1" width="3.7109375" customWidth="1"/>
    <col min="2" max="2" width="24.7109375" customWidth="1"/>
    <col min="3" max="3" width="82.7109375" customWidth="1"/>
  </cols>
  <sheetData>
    <row r="2" spans="2:3" ht="34" customHeight="1">
      <c r="B2" s="1" t="s">
        <v>0</v>
      </c>
      <c r="C2" s="1"/>
    </row>
    <row r="4" spans="2:3">
      <c r="B4" s="2" t="s">
        <v>1</v>
      </c>
      <c r="C4" s="3" t="s">
        <v>2</v>
      </c>
    </row>
    <row r="5" spans="2:3">
      <c r="B5" s="2" t="s">
        <v>3</v>
      </c>
      <c r="C5" s="3" t="s">
        <v>4</v>
      </c>
    </row>
    <row r="7" spans="2:3">
      <c r="B7" s="2" t="s">
        <v>5</v>
      </c>
    </row>
    <row r="8" spans="2:3">
      <c r="B8" s="4" t="s">
        <v>6</v>
      </c>
      <c r="C8" s="5" t="s">
        <v>7</v>
      </c>
    </row>
    <row r="9" spans="2:3">
      <c r="B9" s="4" t="s">
        <v>8</v>
      </c>
      <c r="C9" s="5" t="s">
        <v>9</v>
      </c>
    </row>
    <row r="10" spans="2:3">
      <c r="B10" s="4" t="s">
        <v>10</v>
      </c>
      <c r="C10" s="5" t="s">
        <v>11</v>
      </c>
    </row>
    <row r="11" spans="2:3">
      <c r="B11" s="4" t="s">
        <v>12</v>
      </c>
      <c r="C11" s="5" t="s">
        <v>13</v>
      </c>
    </row>
    <row r="12" spans="2:3">
      <c r="B12" s="4" t="s">
        <v>14</v>
      </c>
      <c r="C12" s="5" t="s">
        <v>15</v>
      </c>
    </row>
    <row r="14" spans="2:3">
      <c r="B14" s="2" t="s">
        <v>16</v>
      </c>
      <c r="C14" s="5" t="s">
        <v>17</v>
      </c>
    </row>
  </sheetData>
  <mergeCells count="1">
    <mergeCell ref="B2:C2"/>
  </mergeCells>
  <hyperlinks>
    <hyperlink ref="C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13.7109375" style="6" customWidth="1"/>
    <col min="3" max="3" width="24.7109375" customWidth="1"/>
    <col min="4" max="4" width="17.7109375" customWidth="1"/>
    <col min="5" max="5" width="25.7109375" customWidth="1"/>
    <col min="6" max="6" width="20.7109375" customWidth="1"/>
    <col min="7" max="7" width="18.7109375" customWidth="1"/>
    <col min="8" max="8" width="22.7109375" customWidth="1"/>
    <col min="9" max="12" width="18.7109375" customWidth="1"/>
    <col min="13" max="13" width="20.7109375" customWidth="1"/>
    <col min="14" max="14" width="13.7109375" style="6" customWidth="1"/>
    <col min="15" max="15" width="28.7109375" customWidth="1"/>
    <col min="16" max="16" width="16.7109375" style="6" customWidth="1"/>
    <col min="17" max="17" width="18.7109375" customWidth="1"/>
    <col min="18" max="19" width="15.7109375" customWidth="1"/>
    <col min="20" max="20" width="16.7109375" customWidth="1"/>
    <col min="21" max="22" width="15.7109375" customWidth="1"/>
    <col min="23" max="23" width="16.7109375" style="6" customWidth="1"/>
    <col min="24" max="24" width="36.7109375" customWidth="1"/>
  </cols>
  <sheetData>
    <row r="1" spans="1:24" ht="38" customHeight="1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  <c r="P1" s="7" t="s">
        <v>33</v>
      </c>
      <c r="Q1" s="7" t="s">
        <v>34</v>
      </c>
      <c r="R1" s="7" t="s">
        <v>35</v>
      </c>
      <c r="S1" s="7" t="s">
        <v>36</v>
      </c>
      <c r="T1" s="7" t="s">
        <v>37</v>
      </c>
      <c r="U1" s="7" t="s">
        <v>38</v>
      </c>
      <c r="V1" s="7" t="s">
        <v>39</v>
      </c>
      <c r="W1" s="7" t="s">
        <v>40</v>
      </c>
      <c r="X1" s="7" t="s">
        <v>41</v>
      </c>
    </row>
  </sheetData>
  <autoFilter ref="A1:X501"/>
  <conditionalFormatting sqref="M2:M501">
    <cfRule type="containsText" dxfId="0" priority="1" operator="containsText" text="Activated">
      <formula>NOT(ISERROR(SEARCH("Activated",M2)))</formula>
    </cfRule>
    <cfRule type="containsText" dxfId="1" priority="2" operator="containsText" text="Not approved">
      <formula>NOT(ISERROR(SEARCH("Not approved",M2)))</formula>
    </cfRule>
  </conditionalFormatting>
  <conditionalFormatting sqref="P2:P501">
    <cfRule type="expression" dxfId="2" priority="3">
      <formula>AND($P2&lt;TODAY(),$P2&lt;&gt;"",$M2&lt;&gt;"Activated")</formula>
    </cfRule>
  </conditionalFormatting>
  <dataValidations count="10">
    <dataValidation type="list" allowBlank="1" showInputMessage="1" showErrorMessage="1" sqref="F2:F501">
      <formula1>TradeList</formula1>
    </dataValidation>
    <dataValidation type="list" allowBlank="1" showInputMessage="1" showErrorMessage="1" sqref="I2:I501">
      <formula1>YesNoList</formula1>
    </dataValidation>
    <dataValidation type="list" allowBlank="1" showInputMessage="1" showErrorMessage="1" sqref="J2:J501">
      <formula1>SourceList</formula1>
    </dataValidation>
    <dataValidation type="list" allowBlank="1" showInputMessage="1" showErrorMessage="1" sqref="M2:M501">
      <formula1>StageList</formula1>
    </dataValidation>
    <dataValidation type="list" allowBlank="1" showInputMessage="1" showErrorMessage="1" sqref="Q2:Q501">
      <formula1>YesNoList</formula1>
    </dataValidation>
    <dataValidation type="list" allowBlank="1" showInputMessage="1" showErrorMessage="1" sqref="R2:R501">
      <formula1>CheckList</formula1>
    </dataValidation>
    <dataValidation type="list" allowBlank="1" showInputMessage="1" showErrorMessage="1" sqref="S2:S501">
      <formula1>CheckList</formula1>
    </dataValidation>
    <dataValidation type="list" allowBlank="1" showInputMessage="1" showErrorMessage="1" sqref="T2:T501">
      <formula1>CheckList</formula1>
    </dataValidation>
    <dataValidation type="list" allowBlank="1" showInputMessage="1" showErrorMessage="1" sqref="U2:U501">
      <formula1>CheckList</formula1>
    </dataValidation>
    <dataValidation type="list" allowBlank="1" showInputMessage="1" showErrorMessage="1" sqref="V2:V501">
      <formula1>CheckList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G21"/>
  <sheetViews>
    <sheetView showGridLines="0" workbookViewId="0"/>
  </sheetViews>
  <sheetFormatPr defaultRowHeight="15"/>
  <cols>
    <col min="1" max="1" width="3.7109375" customWidth="1"/>
    <col min="2" max="7" width="18.7109375" customWidth="1"/>
  </cols>
  <sheetData>
    <row r="2" spans="2:7" ht="34" customHeight="1">
      <c r="B2" s="1" t="s">
        <v>42</v>
      </c>
      <c r="C2" s="1"/>
      <c r="D2" s="1"/>
      <c r="E2" s="1"/>
      <c r="F2" s="1"/>
      <c r="G2" s="1"/>
    </row>
    <row r="4" spans="2:7">
      <c r="B4" s="4" t="s">
        <v>43</v>
      </c>
      <c r="C4" s="3" t="s">
        <v>44</v>
      </c>
      <c r="D4" s="3"/>
      <c r="E4" s="3"/>
      <c r="F4" s="3"/>
      <c r="G4" s="3"/>
    </row>
    <row r="6" spans="2:7"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</row>
    <row r="7" spans="2:7">
      <c r="B7" s="8">
        <f>COUNTIF('Recruitment Funnel'!C2:C501,"?*")</f>
        <v>0</v>
      </c>
      <c r="C7" s="8">
        <f>SUM(COUNTIF('Recruitment Funnel'!M2:M501,{"Contacted","Interested","Application started","Application complete","Verification scheduled","Verification in progress","Training complete","Activated","Not approved","Withdrawn"}))</f>
        <v>0</v>
      </c>
      <c r="D7" s="8">
        <f>SUM(COUNTIF('Recruitment Funnel'!M2:M501,{"Application complete","Verification scheduled","Verification in progress","Training complete","Activated"}))</f>
        <v>0</v>
      </c>
      <c r="E7" s="8">
        <f>SUM(COUNTIF('Recruitment Funnel'!M2:M501,{"Training complete","Activated"}))</f>
        <v>0</v>
      </c>
      <c r="F7" s="8">
        <f>COUNTIF('Recruitment Funnel'!M2:M501,"Activated")</f>
        <v>0</v>
      </c>
      <c r="G7" s="9">
        <f>IFERROR(F7/B7,0)</f>
        <v>0</v>
      </c>
    </row>
    <row r="10" spans="2:7">
      <c r="B10" s="7" t="s">
        <v>51</v>
      </c>
      <c r="C10" s="7" t="s">
        <v>52</v>
      </c>
      <c r="E10" s="7" t="s">
        <v>62</v>
      </c>
      <c r="F10" s="7" t="s">
        <v>63</v>
      </c>
    </row>
    <row r="11" spans="2:7">
      <c r="B11" s="3" t="s">
        <v>53</v>
      </c>
      <c r="C11" s="3">
        <f>COUNTIF('Recruitment Funnel'!M2:M501,B11)</f>
        <v>0</v>
      </c>
      <c r="E11" s="3" t="s">
        <v>64</v>
      </c>
      <c r="F11" s="3">
        <f>F7&amp;" / 20"</f>
        <v>0</v>
      </c>
    </row>
    <row r="12" spans="2:7">
      <c r="B12" s="3" t="s">
        <v>46</v>
      </c>
      <c r="C12" s="3">
        <f>COUNTIF('Recruitment Funnel'!M2:M501,B12)</f>
        <v>0</v>
      </c>
      <c r="E12" s="3" t="s">
        <v>65</v>
      </c>
      <c r="F12" s="3">
        <f>COUNTIFS('Recruitment Funnel'!C2:C501,"?*",'Recruitment Funnel'!Q2:Q501,"&lt;&gt;Yes")</f>
        <v>0</v>
      </c>
    </row>
    <row r="13" spans="2:7">
      <c r="B13" s="3" t="s">
        <v>54</v>
      </c>
      <c r="C13" s="3">
        <f>COUNTIF('Recruitment Funnel'!M2:M501,B13)</f>
        <v>0</v>
      </c>
      <c r="E13" s="3" t="s">
        <v>66</v>
      </c>
      <c r="F13" s="3">
        <f>COUNTIFS('Recruitment Funnel'!P2:P501,"&lt;"&amp;TODAY(),'Recruitment Funnel'!P2:P501,"&lt;&gt;" )</f>
        <v>0</v>
      </c>
    </row>
    <row r="14" spans="2:7">
      <c r="B14" s="3" t="s">
        <v>55</v>
      </c>
      <c r="C14" s="3">
        <f>COUNTIF('Recruitment Funnel'!M2:M501,B14)</f>
        <v>0</v>
      </c>
      <c r="E14" s="3" t="s">
        <v>67</v>
      </c>
      <c r="F14" s="3">
        <f>COUNTIF('Recruitment Funnel'!I2:I501,"No")</f>
        <v>0</v>
      </c>
    </row>
    <row r="15" spans="2:7">
      <c r="B15" s="3" t="s">
        <v>56</v>
      </c>
      <c r="C15" s="3">
        <f>COUNTIF('Recruitment Funnel'!M2:M501,B15)</f>
        <v>0</v>
      </c>
    </row>
    <row r="16" spans="2:7">
      <c r="B16" s="3" t="s">
        <v>57</v>
      </c>
      <c r="C16" s="3">
        <f>COUNTIF('Recruitment Funnel'!M2:M501,B16)</f>
        <v>0</v>
      </c>
    </row>
    <row r="17" spans="2:3">
      <c r="B17" s="3" t="s">
        <v>58</v>
      </c>
      <c r="C17" s="3">
        <f>COUNTIF('Recruitment Funnel'!M2:M501,B17)</f>
        <v>0</v>
      </c>
    </row>
    <row r="18" spans="2:3">
      <c r="B18" s="3" t="s">
        <v>59</v>
      </c>
      <c r="C18" s="3">
        <f>COUNTIF('Recruitment Funnel'!M2:M501,B18)</f>
        <v>0</v>
      </c>
    </row>
    <row r="19" spans="2:3">
      <c r="B19" s="3" t="s">
        <v>49</v>
      </c>
      <c r="C19" s="3">
        <f>COUNTIF('Recruitment Funnel'!M2:M501,B19)</f>
        <v>0</v>
      </c>
    </row>
    <row r="20" spans="2:3">
      <c r="B20" s="3" t="s">
        <v>60</v>
      </c>
      <c r="C20" s="3">
        <f>COUNTIF('Recruitment Funnel'!M2:M501,B20)</f>
        <v>0</v>
      </c>
    </row>
    <row r="21" spans="2:3">
      <c r="B21" s="3" t="s">
        <v>61</v>
      </c>
      <c r="C21" s="3">
        <f>COUNTIF('Recruitment Funnel'!M2:M501,B21)</f>
        <v>0</v>
      </c>
    </row>
  </sheetData>
  <mergeCells count="2">
    <mergeCell ref="B2:G2"/>
    <mergeCell ref="C4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5.7109375" customWidth="1"/>
    <col min="2" max="3" width="24.7109375" customWidth="1"/>
    <col min="4" max="4" width="18.7109375" customWidth="1"/>
    <col min="5" max="5" width="15.7109375" style="6" customWidth="1"/>
    <col min="6" max="6" width="20.7109375" customWidth="1"/>
    <col min="7" max="7" width="28.7109375" customWidth="1"/>
    <col min="8" max="8" width="20.7109375" style="6" customWidth="1"/>
    <col min="9" max="9" width="44.7109375" customWidth="1"/>
  </cols>
  <sheetData>
    <row r="1" spans="1:9">
      <c r="A1" s="7" t="s">
        <v>18</v>
      </c>
      <c r="B1" s="7" t="s">
        <v>20</v>
      </c>
      <c r="C1" s="7" t="s">
        <v>68</v>
      </c>
      <c r="D1" s="7" t="s">
        <v>69</v>
      </c>
      <c r="E1" s="7" t="s">
        <v>70</v>
      </c>
      <c r="F1" s="7" t="s">
        <v>71</v>
      </c>
      <c r="G1" s="7" t="s">
        <v>72</v>
      </c>
      <c r="H1" s="7" t="s">
        <v>73</v>
      </c>
      <c r="I1" s="7" t="s">
        <v>74</v>
      </c>
    </row>
  </sheetData>
  <dataValidations count="2">
    <dataValidation type="list" allowBlank="1" showInputMessage="1" showErrorMessage="1" sqref="C2:C1001">
      <formula1>VerificationTypeList</formula1>
    </dataValidation>
    <dataValidation type="list" allowBlank="1" showInputMessage="1" showErrorMessage="1" sqref="D2:D1001">
      <formula1>CheckList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2.7109375" customWidth="1"/>
    <col min="4" max="7" width="16.7109375" customWidth="1"/>
    <col min="8" max="8" width="40.7109375" customWidth="1"/>
  </cols>
  <sheetData>
    <row r="1" spans="1:8">
      <c r="A1" s="7" t="s">
        <v>28</v>
      </c>
      <c r="B1" s="7" t="s">
        <v>27</v>
      </c>
      <c r="C1" s="7" t="s">
        <v>75</v>
      </c>
      <c r="D1" s="7" t="s">
        <v>76</v>
      </c>
      <c r="E1" s="7" t="s">
        <v>45</v>
      </c>
      <c r="F1" s="7" t="s">
        <v>49</v>
      </c>
      <c r="G1" s="7" t="s">
        <v>77</v>
      </c>
      <c r="H1" s="7" t="s">
        <v>41</v>
      </c>
    </row>
    <row r="2" spans="1:8">
      <c r="E2">
        <f>IF(A2="","",COUNTIF('Recruitment Funnel'!K:K,A2))</f>
        <v>0</v>
      </c>
      <c r="F2">
        <f>IF(A2="","",COUNTIFS('Recruitment Funnel'!K:K,A2,'Recruitment Funnel'!M:M,"Activated"))</f>
        <v>0</v>
      </c>
      <c r="G2" s="10">
        <f>IFERROR(F2/E2,0)</f>
        <v>0</v>
      </c>
    </row>
    <row r="3" spans="1:8">
      <c r="E3">
        <f>IF(A3="","",COUNTIF('Recruitment Funnel'!K:K,A3))</f>
        <v>0</v>
      </c>
      <c r="F3">
        <f>IF(A3="","",COUNTIFS('Recruitment Funnel'!K:K,A3,'Recruitment Funnel'!M:M,"Activated"))</f>
        <v>0</v>
      </c>
      <c r="G3" s="10">
        <f>IFERROR(F3/E3,0)</f>
        <v>0</v>
      </c>
    </row>
    <row r="4" spans="1:8">
      <c r="E4">
        <f>IF(A4="","",COUNTIF('Recruitment Funnel'!K:K,A4))</f>
        <v>0</v>
      </c>
      <c r="F4">
        <f>IF(A4="","",COUNTIFS('Recruitment Funnel'!K:K,A4,'Recruitment Funnel'!M:M,"Activated"))</f>
        <v>0</v>
      </c>
      <c r="G4" s="10">
        <f>IFERROR(F4/E4,0)</f>
        <v>0</v>
      </c>
    </row>
    <row r="5" spans="1:8">
      <c r="E5">
        <f>IF(A5="","",COUNTIF('Recruitment Funnel'!K:K,A5))</f>
        <v>0</v>
      </c>
      <c r="F5">
        <f>IF(A5="","",COUNTIFS('Recruitment Funnel'!K:K,A5,'Recruitment Funnel'!M:M,"Activated"))</f>
        <v>0</v>
      </c>
      <c r="G5" s="10">
        <f>IFERROR(F5/E5,0)</f>
        <v>0</v>
      </c>
    </row>
    <row r="6" spans="1:8">
      <c r="E6">
        <f>IF(A6="","",COUNTIF('Recruitment Funnel'!K:K,A6))</f>
        <v>0</v>
      </c>
      <c r="F6">
        <f>IF(A6="","",COUNTIFS('Recruitment Funnel'!K:K,A6,'Recruitment Funnel'!M:M,"Activated"))</f>
        <v>0</v>
      </c>
      <c r="G6" s="10">
        <f>IFERROR(F6/E6,0)</f>
        <v>0</v>
      </c>
    </row>
    <row r="7" spans="1:8">
      <c r="E7">
        <f>IF(A7="","",COUNTIF('Recruitment Funnel'!K:K,A7))</f>
        <v>0</v>
      </c>
      <c r="F7">
        <f>IF(A7="","",COUNTIFS('Recruitment Funnel'!K:K,A7,'Recruitment Funnel'!M:M,"Activated"))</f>
        <v>0</v>
      </c>
      <c r="G7" s="10">
        <f>IFERROR(F7/E7,0)</f>
        <v>0</v>
      </c>
    </row>
    <row r="8" spans="1:8">
      <c r="E8">
        <f>IF(A8="","",COUNTIF('Recruitment Funnel'!K:K,A8))</f>
        <v>0</v>
      </c>
      <c r="F8">
        <f>IF(A8="","",COUNTIFS('Recruitment Funnel'!K:K,A8,'Recruitment Funnel'!M:M,"Activated"))</f>
        <v>0</v>
      </c>
      <c r="G8" s="10">
        <f>IFERROR(F8/E8,0)</f>
        <v>0</v>
      </c>
    </row>
    <row r="9" spans="1:8">
      <c r="E9">
        <f>IF(A9="","",COUNTIF('Recruitment Funnel'!K:K,A9))</f>
        <v>0</v>
      </c>
      <c r="F9">
        <f>IF(A9="","",COUNTIFS('Recruitment Funnel'!K:K,A9,'Recruitment Funnel'!M:M,"Activated"))</f>
        <v>0</v>
      </c>
      <c r="G9" s="10">
        <f>IFERROR(F9/E9,0)</f>
        <v>0</v>
      </c>
    </row>
    <row r="10" spans="1:8">
      <c r="E10">
        <f>IF(A10="","",COUNTIF('Recruitment Funnel'!K:K,A10))</f>
        <v>0</v>
      </c>
      <c r="F10">
        <f>IF(A10="","",COUNTIFS('Recruitment Funnel'!K:K,A10,'Recruitment Funnel'!M:M,"Activated"))</f>
        <v>0</v>
      </c>
      <c r="G10" s="10">
        <f>IFERROR(F10/E10,0)</f>
        <v>0</v>
      </c>
    </row>
    <row r="11" spans="1:8">
      <c r="E11">
        <f>IF(A11="","",COUNTIF('Recruitment Funnel'!K:K,A11))</f>
        <v>0</v>
      </c>
      <c r="F11">
        <f>IF(A11="","",COUNTIFS('Recruitment Funnel'!K:K,A11,'Recruitment Funnel'!M:M,"Activated"))</f>
        <v>0</v>
      </c>
      <c r="G11" s="10">
        <f>IFERROR(F11/E11,0)</f>
        <v>0</v>
      </c>
    </row>
    <row r="12" spans="1:8">
      <c r="E12">
        <f>IF(A12="","",COUNTIF('Recruitment Funnel'!K:K,A12))</f>
        <v>0</v>
      </c>
      <c r="F12">
        <f>IF(A12="","",COUNTIFS('Recruitment Funnel'!K:K,A12,'Recruitment Funnel'!M:M,"Activated"))</f>
        <v>0</v>
      </c>
      <c r="G12" s="10">
        <f>IFERROR(F12/E12,0)</f>
        <v>0</v>
      </c>
    </row>
    <row r="13" spans="1:8">
      <c r="E13">
        <f>IF(A13="","",COUNTIF('Recruitment Funnel'!K:K,A13))</f>
        <v>0</v>
      </c>
      <c r="F13">
        <f>IF(A13="","",COUNTIFS('Recruitment Funnel'!K:K,A13,'Recruitment Funnel'!M:M,"Activated"))</f>
        <v>0</v>
      </c>
      <c r="G13" s="10">
        <f>IFERROR(F13/E13,0)</f>
        <v>0</v>
      </c>
    </row>
    <row r="14" spans="1:8">
      <c r="E14">
        <f>IF(A14="","",COUNTIF('Recruitment Funnel'!K:K,A14))</f>
        <v>0</v>
      </c>
      <c r="F14">
        <f>IF(A14="","",COUNTIFS('Recruitment Funnel'!K:K,A14,'Recruitment Funnel'!M:M,"Activated"))</f>
        <v>0</v>
      </c>
      <c r="G14" s="10">
        <f>IFERROR(F14/E14,0)</f>
        <v>0</v>
      </c>
    </row>
    <row r="15" spans="1:8">
      <c r="E15">
        <f>IF(A15="","",COUNTIF('Recruitment Funnel'!K:K,A15))</f>
        <v>0</v>
      </c>
      <c r="F15">
        <f>IF(A15="","",COUNTIFS('Recruitment Funnel'!K:K,A15,'Recruitment Funnel'!M:M,"Activated"))</f>
        <v>0</v>
      </c>
      <c r="G15" s="10">
        <f>IFERROR(F15/E15,0)</f>
        <v>0</v>
      </c>
    </row>
    <row r="16" spans="1:8">
      <c r="E16">
        <f>IF(A16="","",COUNTIF('Recruitment Funnel'!K:K,A16))</f>
        <v>0</v>
      </c>
      <c r="F16">
        <f>IF(A16="","",COUNTIFS('Recruitment Funnel'!K:K,A16,'Recruitment Funnel'!M:M,"Activated"))</f>
        <v>0</v>
      </c>
      <c r="G16" s="10">
        <f>IFERROR(F16/E16,0)</f>
        <v>0</v>
      </c>
    </row>
    <row r="17" spans="5:7">
      <c r="E17">
        <f>IF(A17="","",COUNTIF('Recruitment Funnel'!K:K,A17))</f>
        <v>0</v>
      </c>
      <c r="F17">
        <f>IF(A17="","",COUNTIFS('Recruitment Funnel'!K:K,A17,'Recruitment Funnel'!M:M,"Activated"))</f>
        <v>0</v>
      </c>
      <c r="G17" s="10">
        <f>IFERROR(F17/E17,0)</f>
        <v>0</v>
      </c>
    </row>
    <row r="18" spans="5:7">
      <c r="E18">
        <f>IF(A18="","",COUNTIF('Recruitment Funnel'!K:K,A18))</f>
        <v>0</v>
      </c>
      <c r="F18">
        <f>IF(A18="","",COUNTIFS('Recruitment Funnel'!K:K,A18,'Recruitment Funnel'!M:M,"Activated"))</f>
        <v>0</v>
      </c>
      <c r="G18" s="10">
        <f>IFERROR(F18/E18,0)</f>
        <v>0</v>
      </c>
    </row>
    <row r="19" spans="5:7">
      <c r="E19">
        <f>IF(A19="","",COUNTIF('Recruitment Funnel'!K:K,A19))</f>
        <v>0</v>
      </c>
      <c r="F19">
        <f>IF(A19="","",COUNTIFS('Recruitment Funnel'!K:K,A19,'Recruitment Funnel'!M:M,"Activated"))</f>
        <v>0</v>
      </c>
      <c r="G19" s="10">
        <f>IFERROR(F19/E19,0)</f>
        <v>0</v>
      </c>
    </row>
    <row r="20" spans="5:7">
      <c r="E20">
        <f>IF(A20="","",COUNTIF('Recruitment Funnel'!K:K,A20))</f>
        <v>0</v>
      </c>
      <c r="F20">
        <f>IF(A20="","",COUNTIFS('Recruitment Funnel'!K:K,A20,'Recruitment Funnel'!M:M,"Activated"))</f>
        <v>0</v>
      </c>
      <c r="G20" s="10">
        <f>IFERROR(F20/E20,0)</f>
        <v>0</v>
      </c>
    </row>
    <row r="21" spans="5:7">
      <c r="E21">
        <f>IF(A21="","",COUNTIF('Recruitment Funnel'!K:K,A21))</f>
        <v>0</v>
      </c>
      <c r="F21">
        <f>IF(A21="","",COUNTIFS('Recruitment Funnel'!K:K,A21,'Recruitment Funnel'!M:M,"Activated"))</f>
        <v>0</v>
      </c>
      <c r="G21" s="10">
        <f>IFERROR(F21/E21,0)</f>
        <v>0</v>
      </c>
    </row>
    <row r="22" spans="5:7">
      <c r="E22">
        <f>IF(A22="","",COUNTIF('Recruitment Funnel'!K:K,A22))</f>
        <v>0</v>
      </c>
      <c r="F22">
        <f>IF(A22="","",COUNTIFS('Recruitment Funnel'!K:K,A22,'Recruitment Funnel'!M:M,"Activated"))</f>
        <v>0</v>
      </c>
      <c r="G22" s="10">
        <f>IFERROR(F22/E22,0)</f>
        <v>0</v>
      </c>
    </row>
    <row r="23" spans="5:7">
      <c r="E23">
        <f>IF(A23="","",COUNTIF('Recruitment Funnel'!K:K,A23))</f>
        <v>0</v>
      </c>
      <c r="F23">
        <f>IF(A23="","",COUNTIFS('Recruitment Funnel'!K:K,A23,'Recruitment Funnel'!M:M,"Activated"))</f>
        <v>0</v>
      </c>
      <c r="G23" s="10">
        <f>IFERROR(F23/E23,0)</f>
        <v>0</v>
      </c>
    </row>
    <row r="24" spans="5:7">
      <c r="E24">
        <f>IF(A24="","",COUNTIF('Recruitment Funnel'!K:K,A24))</f>
        <v>0</v>
      </c>
      <c r="F24">
        <f>IF(A24="","",COUNTIFS('Recruitment Funnel'!K:K,A24,'Recruitment Funnel'!M:M,"Activated"))</f>
        <v>0</v>
      </c>
      <c r="G24" s="10">
        <f>IFERROR(F24/E24,0)</f>
        <v>0</v>
      </c>
    </row>
    <row r="25" spans="5:7">
      <c r="E25">
        <f>IF(A25="","",COUNTIF('Recruitment Funnel'!K:K,A25))</f>
        <v>0</v>
      </c>
      <c r="F25">
        <f>IF(A25="","",COUNTIFS('Recruitment Funnel'!K:K,A25,'Recruitment Funnel'!M:M,"Activated"))</f>
        <v>0</v>
      </c>
      <c r="G25" s="10">
        <f>IFERROR(F25/E25,0)</f>
        <v>0</v>
      </c>
    </row>
    <row r="26" spans="5:7">
      <c r="E26">
        <f>IF(A26="","",COUNTIF('Recruitment Funnel'!K:K,A26))</f>
        <v>0</v>
      </c>
      <c r="F26">
        <f>IF(A26="","",COUNTIFS('Recruitment Funnel'!K:K,A26,'Recruitment Funnel'!M:M,"Activated"))</f>
        <v>0</v>
      </c>
      <c r="G26" s="10">
        <f>IFERROR(F26/E26,0)</f>
        <v>0</v>
      </c>
    </row>
    <row r="27" spans="5:7">
      <c r="E27">
        <f>IF(A27="","",COUNTIF('Recruitment Funnel'!K:K,A27))</f>
        <v>0</v>
      </c>
      <c r="F27">
        <f>IF(A27="","",COUNTIFS('Recruitment Funnel'!K:K,A27,'Recruitment Funnel'!M:M,"Activated"))</f>
        <v>0</v>
      </c>
      <c r="G27" s="10">
        <f>IFERROR(F27/E27,0)</f>
        <v>0</v>
      </c>
    </row>
    <row r="28" spans="5:7">
      <c r="E28">
        <f>IF(A28="","",COUNTIF('Recruitment Funnel'!K:K,A28))</f>
        <v>0</v>
      </c>
      <c r="F28">
        <f>IF(A28="","",COUNTIFS('Recruitment Funnel'!K:K,A28,'Recruitment Funnel'!M:M,"Activated"))</f>
        <v>0</v>
      </c>
      <c r="G28" s="10">
        <f>IFERROR(F28/E28,0)</f>
        <v>0</v>
      </c>
    </row>
    <row r="29" spans="5:7">
      <c r="E29">
        <f>IF(A29="","",COUNTIF('Recruitment Funnel'!K:K,A29))</f>
        <v>0</v>
      </c>
      <c r="F29">
        <f>IF(A29="","",COUNTIFS('Recruitment Funnel'!K:K,A29,'Recruitment Funnel'!M:M,"Activated"))</f>
        <v>0</v>
      </c>
      <c r="G29" s="10">
        <f>IFERROR(F29/E29,0)</f>
        <v>0</v>
      </c>
    </row>
    <row r="30" spans="5:7">
      <c r="E30">
        <f>IF(A30="","",COUNTIF('Recruitment Funnel'!K:K,A30))</f>
        <v>0</v>
      </c>
      <c r="F30">
        <f>IF(A30="","",COUNTIFS('Recruitment Funnel'!K:K,A30,'Recruitment Funnel'!M:M,"Activated"))</f>
        <v>0</v>
      </c>
      <c r="G30" s="10">
        <f>IFERROR(F30/E30,0)</f>
        <v>0</v>
      </c>
    </row>
    <row r="31" spans="5:7">
      <c r="E31">
        <f>IF(A31="","",COUNTIF('Recruitment Funnel'!K:K,A31))</f>
        <v>0</v>
      </c>
      <c r="F31">
        <f>IF(A31="","",COUNTIFS('Recruitment Funnel'!K:K,A31,'Recruitment Funnel'!M:M,"Activated"))</f>
        <v>0</v>
      </c>
      <c r="G31" s="10">
        <f>IFERROR(F31/E31,0)</f>
        <v>0</v>
      </c>
    </row>
    <row r="32" spans="5:7">
      <c r="E32">
        <f>IF(A32="","",COUNTIF('Recruitment Funnel'!K:K,A32))</f>
        <v>0</v>
      </c>
      <c r="F32">
        <f>IF(A32="","",COUNTIFS('Recruitment Funnel'!K:K,A32,'Recruitment Funnel'!M:M,"Activated"))</f>
        <v>0</v>
      </c>
      <c r="G32" s="10">
        <f>IFERROR(F32/E32,0)</f>
        <v>0</v>
      </c>
    </row>
    <row r="33" spans="5:7">
      <c r="E33">
        <f>IF(A33="","",COUNTIF('Recruitment Funnel'!K:K,A33))</f>
        <v>0</v>
      </c>
      <c r="F33">
        <f>IF(A33="","",COUNTIFS('Recruitment Funnel'!K:K,A33,'Recruitment Funnel'!M:M,"Activated"))</f>
        <v>0</v>
      </c>
      <c r="G33" s="10">
        <f>IFERROR(F33/E33,0)</f>
        <v>0</v>
      </c>
    </row>
    <row r="34" spans="5:7">
      <c r="E34">
        <f>IF(A34="","",COUNTIF('Recruitment Funnel'!K:K,A34))</f>
        <v>0</v>
      </c>
      <c r="F34">
        <f>IF(A34="","",COUNTIFS('Recruitment Funnel'!K:K,A34,'Recruitment Funnel'!M:M,"Activated"))</f>
        <v>0</v>
      </c>
      <c r="G34" s="10">
        <f>IFERROR(F34/E34,0)</f>
        <v>0</v>
      </c>
    </row>
    <row r="35" spans="5:7">
      <c r="E35">
        <f>IF(A35="","",COUNTIF('Recruitment Funnel'!K:K,A35))</f>
        <v>0</v>
      </c>
      <c r="F35">
        <f>IF(A35="","",COUNTIFS('Recruitment Funnel'!K:K,A35,'Recruitment Funnel'!M:M,"Activated"))</f>
        <v>0</v>
      </c>
      <c r="G35" s="10">
        <f>IFERROR(F35/E35,0)</f>
        <v>0</v>
      </c>
    </row>
    <row r="36" spans="5:7">
      <c r="E36">
        <f>IF(A36="","",COUNTIF('Recruitment Funnel'!K:K,A36))</f>
        <v>0</v>
      </c>
      <c r="F36">
        <f>IF(A36="","",COUNTIFS('Recruitment Funnel'!K:K,A36,'Recruitment Funnel'!M:M,"Activated"))</f>
        <v>0</v>
      </c>
      <c r="G36" s="10">
        <f>IFERROR(F36/E36,0)</f>
        <v>0</v>
      </c>
    </row>
    <row r="37" spans="5:7">
      <c r="E37">
        <f>IF(A37="","",COUNTIF('Recruitment Funnel'!K:K,A37))</f>
        <v>0</v>
      </c>
      <c r="F37">
        <f>IF(A37="","",COUNTIFS('Recruitment Funnel'!K:K,A37,'Recruitment Funnel'!M:M,"Activated"))</f>
        <v>0</v>
      </c>
      <c r="G37" s="10">
        <f>IFERROR(F37/E37,0)</f>
        <v>0</v>
      </c>
    </row>
    <row r="38" spans="5:7">
      <c r="E38">
        <f>IF(A38="","",COUNTIF('Recruitment Funnel'!K:K,A38))</f>
        <v>0</v>
      </c>
      <c r="F38">
        <f>IF(A38="","",COUNTIFS('Recruitment Funnel'!K:K,A38,'Recruitment Funnel'!M:M,"Activated"))</f>
        <v>0</v>
      </c>
      <c r="G38" s="10">
        <f>IFERROR(F38/E38,0)</f>
        <v>0</v>
      </c>
    </row>
    <row r="39" spans="5:7">
      <c r="E39">
        <f>IF(A39="","",COUNTIF('Recruitment Funnel'!K:K,A39))</f>
        <v>0</v>
      </c>
      <c r="F39">
        <f>IF(A39="","",COUNTIFS('Recruitment Funnel'!K:K,A39,'Recruitment Funnel'!M:M,"Activated"))</f>
        <v>0</v>
      </c>
      <c r="G39" s="10">
        <f>IFERROR(F39/E39,0)</f>
        <v>0</v>
      </c>
    </row>
    <row r="40" spans="5:7">
      <c r="E40">
        <f>IF(A40="","",COUNTIF('Recruitment Funnel'!K:K,A40))</f>
        <v>0</v>
      </c>
      <c r="F40">
        <f>IF(A40="","",COUNTIFS('Recruitment Funnel'!K:K,A40,'Recruitment Funnel'!M:M,"Activated"))</f>
        <v>0</v>
      </c>
      <c r="G40" s="10">
        <f>IFERROR(F40/E40,0)</f>
        <v>0</v>
      </c>
    </row>
    <row r="41" spans="5:7">
      <c r="E41">
        <f>IF(A41="","",COUNTIF('Recruitment Funnel'!K:K,A41))</f>
        <v>0</v>
      </c>
      <c r="F41">
        <f>IF(A41="","",COUNTIFS('Recruitment Funnel'!K:K,A41,'Recruitment Funnel'!M:M,"Activated"))</f>
        <v>0</v>
      </c>
      <c r="G41" s="10">
        <f>IFERROR(F41/E41,0)</f>
        <v>0</v>
      </c>
    </row>
    <row r="42" spans="5:7">
      <c r="E42">
        <f>IF(A42="","",COUNTIF('Recruitment Funnel'!K:K,A42))</f>
        <v>0</v>
      </c>
      <c r="F42">
        <f>IF(A42="","",COUNTIFS('Recruitment Funnel'!K:K,A42,'Recruitment Funnel'!M:M,"Activated"))</f>
        <v>0</v>
      </c>
      <c r="G42" s="10">
        <f>IFERROR(F42/E42,0)</f>
        <v>0</v>
      </c>
    </row>
    <row r="43" spans="5:7">
      <c r="E43">
        <f>IF(A43="","",COUNTIF('Recruitment Funnel'!K:K,A43))</f>
        <v>0</v>
      </c>
      <c r="F43">
        <f>IF(A43="","",COUNTIFS('Recruitment Funnel'!K:K,A43,'Recruitment Funnel'!M:M,"Activated"))</f>
        <v>0</v>
      </c>
      <c r="G43" s="10">
        <f>IFERROR(F43/E43,0)</f>
        <v>0</v>
      </c>
    </row>
    <row r="44" spans="5:7">
      <c r="E44">
        <f>IF(A44="","",COUNTIF('Recruitment Funnel'!K:K,A44))</f>
        <v>0</v>
      </c>
      <c r="F44">
        <f>IF(A44="","",COUNTIFS('Recruitment Funnel'!K:K,A44,'Recruitment Funnel'!M:M,"Activated"))</f>
        <v>0</v>
      </c>
      <c r="G44" s="10">
        <f>IFERROR(F44/E44,0)</f>
        <v>0</v>
      </c>
    </row>
    <row r="45" spans="5:7">
      <c r="E45">
        <f>IF(A45="","",COUNTIF('Recruitment Funnel'!K:K,A45))</f>
        <v>0</v>
      </c>
      <c r="F45">
        <f>IF(A45="","",COUNTIFS('Recruitment Funnel'!K:K,A45,'Recruitment Funnel'!M:M,"Activated"))</f>
        <v>0</v>
      </c>
      <c r="G45" s="10">
        <f>IFERROR(F45/E45,0)</f>
        <v>0</v>
      </c>
    </row>
    <row r="46" spans="5:7">
      <c r="E46">
        <f>IF(A46="","",COUNTIF('Recruitment Funnel'!K:K,A46))</f>
        <v>0</v>
      </c>
      <c r="F46">
        <f>IF(A46="","",COUNTIFS('Recruitment Funnel'!K:K,A46,'Recruitment Funnel'!M:M,"Activated"))</f>
        <v>0</v>
      </c>
      <c r="G46" s="10">
        <f>IFERROR(F46/E46,0)</f>
        <v>0</v>
      </c>
    </row>
    <row r="47" spans="5:7">
      <c r="E47">
        <f>IF(A47="","",COUNTIF('Recruitment Funnel'!K:K,A47))</f>
        <v>0</v>
      </c>
      <c r="F47">
        <f>IF(A47="","",COUNTIFS('Recruitment Funnel'!K:K,A47,'Recruitment Funnel'!M:M,"Activated"))</f>
        <v>0</v>
      </c>
      <c r="G47" s="10">
        <f>IFERROR(F47/E47,0)</f>
        <v>0</v>
      </c>
    </row>
    <row r="48" spans="5:7">
      <c r="E48">
        <f>IF(A48="","",COUNTIF('Recruitment Funnel'!K:K,A48))</f>
        <v>0</v>
      </c>
      <c r="F48">
        <f>IF(A48="","",COUNTIFS('Recruitment Funnel'!K:K,A48,'Recruitment Funnel'!M:M,"Activated"))</f>
        <v>0</v>
      </c>
      <c r="G48" s="10">
        <f>IFERROR(F48/E48,0)</f>
        <v>0</v>
      </c>
    </row>
    <row r="49" spans="5:7">
      <c r="E49">
        <f>IF(A49="","",COUNTIF('Recruitment Funnel'!K:K,A49))</f>
        <v>0</v>
      </c>
      <c r="F49">
        <f>IF(A49="","",COUNTIFS('Recruitment Funnel'!K:K,A49,'Recruitment Funnel'!M:M,"Activated"))</f>
        <v>0</v>
      </c>
      <c r="G49" s="10">
        <f>IFERROR(F49/E49,0)</f>
        <v>0</v>
      </c>
    </row>
    <row r="50" spans="5:7">
      <c r="E50">
        <f>IF(A50="","",COUNTIF('Recruitment Funnel'!K:K,A50))</f>
        <v>0</v>
      </c>
      <c r="F50">
        <f>IF(A50="","",COUNTIFS('Recruitment Funnel'!K:K,A50,'Recruitment Funnel'!M:M,"Activated"))</f>
        <v>0</v>
      </c>
      <c r="G50" s="10">
        <f>IFERROR(F50/E50,0)</f>
        <v>0</v>
      </c>
    </row>
    <row r="51" spans="5:7">
      <c r="E51">
        <f>IF(A51="","",COUNTIF('Recruitment Funnel'!K:K,A51))</f>
        <v>0</v>
      </c>
      <c r="F51">
        <f>IF(A51="","",COUNTIFS('Recruitment Funnel'!K:K,A51,'Recruitment Funnel'!M:M,"Activated"))</f>
        <v>0</v>
      </c>
      <c r="G51" s="10">
        <f>IFERROR(F51/E51,0)</f>
        <v>0</v>
      </c>
    </row>
    <row r="52" spans="5:7">
      <c r="E52">
        <f>IF(A52="","",COUNTIF('Recruitment Funnel'!K:K,A52))</f>
        <v>0</v>
      </c>
      <c r="F52">
        <f>IF(A52="","",COUNTIFS('Recruitment Funnel'!K:K,A52,'Recruitment Funnel'!M:M,"Activated"))</f>
        <v>0</v>
      </c>
      <c r="G52" s="10">
        <f>IFERROR(F52/E52,0)</f>
        <v>0</v>
      </c>
    </row>
    <row r="53" spans="5:7">
      <c r="E53">
        <f>IF(A53="","",COUNTIF('Recruitment Funnel'!K:K,A53))</f>
        <v>0</v>
      </c>
      <c r="F53">
        <f>IF(A53="","",COUNTIFS('Recruitment Funnel'!K:K,A53,'Recruitment Funnel'!M:M,"Activated"))</f>
        <v>0</v>
      </c>
      <c r="G53" s="10">
        <f>IFERROR(F53/E53,0)</f>
        <v>0</v>
      </c>
    </row>
    <row r="54" spans="5:7">
      <c r="E54">
        <f>IF(A54="","",COUNTIF('Recruitment Funnel'!K:K,A54))</f>
        <v>0</v>
      </c>
      <c r="F54">
        <f>IF(A54="","",COUNTIFS('Recruitment Funnel'!K:K,A54,'Recruitment Funnel'!M:M,"Activated"))</f>
        <v>0</v>
      </c>
      <c r="G54" s="10">
        <f>IFERROR(F54/E54,0)</f>
        <v>0</v>
      </c>
    </row>
    <row r="55" spans="5:7">
      <c r="E55">
        <f>IF(A55="","",COUNTIF('Recruitment Funnel'!K:K,A55))</f>
        <v>0</v>
      </c>
      <c r="F55">
        <f>IF(A55="","",COUNTIFS('Recruitment Funnel'!K:K,A55,'Recruitment Funnel'!M:M,"Activated"))</f>
        <v>0</v>
      </c>
      <c r="G55" s="10">
        <f>IFERROR(F55/E55,0)</f>
        <v>0</v>
      </c>
    </row>
    <row r="56" spans="5:7">
      <c r="E56">
        <f>IF(A56="","",COUNTIF('Recruitment Funnel'!K:K,A56))</f>
        <v>0</v>
      </c>
      <c r="F56">
        <f>IF(A56="","",COUNTIFS('Recruitment Funnel'!K:K,A56,'Recruitment Funnel'!M:M,"Activated"))</f>
        <v>0</v>
      </c>
      <c r="G56" s="10">
        <f>IFERROR(F56/E56,0)</f>
        <v>0</v>
      </c>
    </row>
    <row r="57" spans="5:7">
      <c r="E57">
        <f>IF(A57="","",COUNTIF('Recruitment Funnel'!K:K,A57))</f>
        <v>0</v>
      </c>
      <c r="F57">
        <f>IF(A57="","",COUNTIFS('Recruitment Funnel'!K:K,A57,'Recruitment Funnel'!M:M,"Activated"))</f>
        <v>0</v>
      </c>
      <c r="G57" s="10">
        <f>IFERROR(F57/E57,0)</f>
        <v>0</v>
      </c>
    </row>
    <row r="58" spans="5:7">
      <c r="E58">
        <f>IF(A58="","",COUNTIF('Recruitment Funnel'!K:K,A58))</f>
        <v>0</v>
      </c>
      <c r="F58">
        <f>IF(A58="","",COUNTIFS('Recruitment Funnel'!K:K,A58,'Recruitment Funnel'!M:M,"Activated"))</f>
        <v>0</v>
      </c>
      <c r="G58" s="10">
        <f>IFERROR(F58/E58,0)</f>
        <v>0</v>
      </c>
    </row>
    <row r="59" spans="5:7">
      <c r="E59">
        <f>IF(A59="","",COUNTIF('Recruitment Funnel'!K:K,A59))</f>
        <v>0</v>
      </c>
      <c r="F59">
        <f>IF(A59="","",COUNTIFS('Recruitment Funnel'!K:K,A59,'Recruitment Funnel'!M:M,"Activated"))</f>
        <v>0</v>
      </c>
      <c r="G59" s="10">
        <f>IFERROR(F59/E59,0)</f>
        <v>0</v>
      </c>
    </row>
    <row r="60" spans="5:7">
      <c r="E60">
        <f>IF(A60="","",COUNTIF('Recruitment Funnel'!K:K,A60))</f>
        <v>0</v>
      </c>
      <c r="F60">
        <f>IF(A60="","",COUNTIFS('Recruitment Funnel'!K:K,A60,'Recruitment Funnel'!M:M,"Activated"))</f>
        <v>0</v>
      </c>
      <c r="G60" s="10">
        <f>IFERROR(F60/E60,0)</f>
        <v>0</v>
      </c>
    </row>
    <row r="61" spans="5:7">
      <c r="E61">
        <f>IF(A61="","",COUNTIF('Recruitment Funnel'!K:K,A61))</f>
        <v>0</v>
      </c>
      <c r="F61">
        <f>IF(A61="","",COUNTIFS('Recruitment Funnel'!K:K,A61,'Recruitment Funnel'!M:M,"Activated"))</f>
        <v>0</v>
      </c>
      <c r="G61" s="10">
        <f>IFERROR(F61/E61,0)</f>
        <v>0</v>
      </c>
    </row>
    <row r="62" spans="5:7">
      <c r="E62">
        <f>IF(A62="","",COUNTIF('Recruitment Funnel'!K:K,A62))</f>
        <v>0</v>
      </c>
      <c r="F62">
        <f>IF(A62="","",COUNTIFS('Recruitment Funnel'!K:K,A62,'Recruitment Funnel'!M:M,"Activated"))</f>
        <v>0</v>
      </c>
      <c r="G62" s="10">
        <f>IFERROR(F62/E62,0)</f>
        <v>0</v>
      </c>
    </row>
    <row r="63" spans="5:7">
      <c r="E63">
        <f>IF(A63="","",COUNTIF('Recruitment Funnel'!K:K,A63))</f>
        <v>0</v>
      </c>
      <c r="F63">
        <f>IF(A63="","",COUNTIFS('Recruitment Funnel'!K:K,A63,'Recruitment Funnel'!M:M,"Activated"))</f>
        <v>0</v>
      </c>
      <c r="G63" s="10">
        <f>IFERROR(F63/E63,0)</f>
        <v>0</v>
      </c>
    </row>
    <row r="64" spans="5:7">
      <c r="E64">
        <f>IF(A64="","",COUNTIF('Recruitment Funnel'!K:K,A64))</f>
        <v>0</v>
      </c>
      <c r="F64">
        <f>IF(A64="","",COUNTIFS('Recruitment Funnel'!K:K,A64,'Recruitment Funnel'!M:M,"Activated"))</f>
        <v>0</v>
      </c>
      <c r="G64" s="10">
        <f>IFERROR(F64/E64,0)</f>
        <v>0</v>
      </c>
    </row>
    <row r="65" spans="5:7">
      <c r="E65">
        <f>IF(A65="","",COUNTIF('Recruitment Funnel'!K:K,A65))</f>
        <v>0</v>
      </c>
      <c r="F65">
        <f>IF(A65="","",COUNTIFS('Recruitment Funnel'!K:K,A65,'Recruitment Funnel'!M:M,"Activated"))</f>
        <v>0</v>
      </c>
      <c r="G65" s="10">
        <f>IFERROR(F65/E65,0)</f>
        <v>0</v>
      </c>
    </row>
    <row r="66" spans="5:7">
      <c r="E66">
        <f>IF(A66="","",COUNTIF('Recruitment Funnel'!K:K,A66))</f>
        <v>0</v>
      </c>
      <c r="F66">
        <f>IF(A66="","",COUNTIFS('Recruitment Funnel'!K:K,A66,'Recruitment Funnel'!M:M,"Activated"))</f>
        <v>0</v>
      </c>
      <c r="G66" s="10">
        <f>IFERROR(F66/E66,0)</f>
        <v>0</v>
      </c>
    </row>
    <row r="67" spans="5:7">
      <c r="E67">
        <f>IF(A67="","",COUNTIF('Recruitment Funnel'!K:K,A67))</f>
        <v>0</v>
      </c>
      <c r="F67">
        <f>IF(A67="","",COUNTIFS('Recruitment Funnel'!K:K,A67,'Recruitment Funnel'!M:M,"Activated"))</f>
        <v>0</v>
      </c>
      <c r="G67" s="10">
        <f>IFERROR(F67/E67,0)</f>
        <v>0</v>
      </c>
    </row>
    <row r="68" spans="5:7">
      <c r="E68">
        <f>IF(A68="","",COUNTIF('Recruitment Funnel'!K:K,A68))</f>
        <v>0</v>
      </c>
      <c r="F68">
        <f>IF(A68="","",COUNTIFS('Recruitment Funnel'!K:K,A68,'Recruitment Funnel'!M:M,"Activated"))</f>
        <v>0</v>
      </c>
      <c r="G68" s="10">
        <f>IFERROR(F68/E68,0)</f>
        <v>0</v>
      </c>
    </row>
    <row r="69" spans="5:7">
      <c r="E69">
        <f>IF(A69="","",COUNTIF('Recruitment Funnel'!K:K,A69))</f>
        <v>0</v>
      </c>
      <c r="F69">
        <f>IF(A69="","",COUNTIFS('Recruitment Funnel'!K:K,A69,'Recruitment Funnel'!M:M,"Activated"))</f>
        <v>0</v>
      </c>
      <c r="G69" s="10">
        <f>IFERROR(F69/E69,0)</f>
        <v>0</v>
      </c>
    </row>
    <row r="70" spans="5:7">
      <c r="E70">
        <f>IF(A70="","",COUNTIF('Recruitment Funnel'!K:K,A70))</f>
        <v>0</v>
      </c>
      <c r="F70">
        <f>IF(A70="","",COUNTIFS('Recruitment Funnel'!K:K,A70,'Recruitment Funnel'!M:M,"Activated"))</f>
        <v>0</v>
      </c>
      <c r="G70" s="10">
        <f>IFERROR(F70/E70,0)</f>
        <v>0</v>
      </c>
    </row>
    <row r="71" spans="5:7">
      <c r="E71">
        <f>IF(A71="","",COUNTIF('Recruitment Funnel'!K:K,A71))</f>
        <v>0</v>
      </c>
      <c r="F71">
        <f>IF(A71="","",COUNTIFS('Recruitment Funnel'!K:K,A71,'Recruitment Funnel'!M:M,"Activated"))</f>
        <v>0</v>
      </c>
      <c r="G71" s="10">
        <f>IFERROR(F71/E71,0)</f>
        <v>0</v>
      </c>
    </row>
    <row r="72" spans="5:7">
      <c r="E72">
        <f>IF(A72="","",COUNTIF('Recruitment Funnel'!K:K,A72))</f>
        <v>0</v>
      </c>
      <c r="F72">
        <f>IF(A72="","",COUNTIFS('Recruitment Funnel'!K:K,A72,'Recruitment Funnel'!M:M,"Activated"))</f>
        <v>0</v>
      </c>
      <c r="G72" s="10">
        <f>IFERROR(F72/E72,0)</f>
        <v>0</v>
      </c>
    </row>
    <row r="73" spans="5:7">
      <c r="E73">
        <f>IF(A73="","",COUNTIF('Recruitment Funnel'!K:K,A73))</f>
        <v>0</v>
      </c>
      <c r="F73">
        <f>IF(A73="","",COUNTIFS('Recruitment Funnel'!K:K,A73,'Recruitment Funnel'!M:M,"Activated"))</f>
        <v>0</v>
      </c>
      <c r="G73" s="10">
        <f>IFERROR(F73/E73,0)</f>
        <v>0</v>
      </c>
    </row>
    <row r="74" spans="5:7">
      <c r="E74">
        <f>IF(A74="","",COUNTIF('Recruitment Funnel'!K:K,A74))</f>
        <v>0</v>
      </c>
      <c r="F74">
        <f>IF(A74="","",COUNTIFS('Recruitment Funnel'!K:K,A74,'Recruitment Funnel'!M:M,"Activated"))</f>
        <v>0</v>
      </c>
      <c r="G74" s="10">
        <f>IFERROR(F74/E74,0)</f>
        <v>0</v>
      </c>
    </row>
    <row r="75" spans="5:7">
      <c r="E75">
        <f>IF(A75="","",COUNTIF('Recruitment Funnel'!K:K,A75))</f>
        <v>0</v>
      </c>
      <c r="F75">
        <f>IF(A75="","",COUNTIFS('Recruitment Funnel'!K:K,A75,'Recruitment Funnel'!M:M,"Activated"))</f>
        <v>0</v>
      </c>
      <c r="G75" s="10">
        <f>IFERROR(F75/E75,0)</f>
        <v>0</v>
      </c>
    </row>
    <row r="76" spans="5:7">
      <c r="E76">
        <f>IF(A76="","",COUNTIF('Recruitment Funnel'!K:K,A76))</f>
        <v>0</v>
      </c>
      <c r="F76">
        <f>IF(A76="","",COUNTIFS('Recruitment Funnel'!K:K,A76,'Recruitment Funnel'!M:M,"Activated"))</f>
        <v>0</v>
      </c>
      <c r="G76" s="10">
        <f>IFERROR(F76/E76,0)</f>
        <v>0</v>
      </c>
    </row>
    <row r="77" spans="5:7">
      <c r="E77">
        <f>IF(A77="","",COUNTIF('Recruitment Funnel'!K:K,A77))</f>
        <v>0</v>
      </c>
      <c r="F77">
        <f>IF(A77="","",COUNTIFS('Recruitment Funnel'!K:K,A77,'Recruitment Funnel'!M:M,"Activated"))</f>
        <v>0</v>
      </c>
      <c r="G77" s="10">
        <f>IFERROR(F77/E77,0)</f>
        <v>0</v>
      </c>
    </row>
    <row r="78" spans="5:7">
      <c r="E78">
        <f>IF(A78="","",COUNTIF('Recruitment Funnel'!K:K,A78))</f>
        <v>0</v>
      </c>
      <c r="F78">
        <f>IF(A78="","",COUNTIFS('Recruitment Funnel'!K:K,A78,'Recruitment Funnel'!M:M,"Activated"))</f>
        <v>0</v>
      </c>
      <c r="G78" s="10">
        <f>IFERROR(F78/E78,0)</f>
        <v>0</v>
      </c>
    </row>
    <row r="79" spans="5:7">
      <c r="E79">
        <f>IF(A79="","",COUNTIF('Recruitment Funnel'!K:K,A79))</f>
        <v>0</v>
      </c>
      <c r="F79">
        <f>IF(A79="","",COUNTIFS('Recruitment Funnel'!K:K,A79,'Recruitment Funnel'!M:M,"Activated"))</f>
        <v>0</v>
      </c>
      <c r="G79" s="10">
        <f>IFERROR(F79/E79,0)</f>
        <v>0</v>
      </c>
    </row>
    <row r="80" spans="5:7">
      <c r="E80">
        <f>IF(A80="","",COUNTIF('Recruitment Funnel'!K:K,A80))</f>
        <v>0</v>
      </c>
      <c r="F80">
        <f>IF(A80="","",COUNTIFS('Recruitment Funnel'!K:K,A80,'Recruitment Funnel'!M:M,"Activated"))</f>
        <v>0</v>
      </c>
      <c r="G80" s="10">
        <f>IFERROR(F80/E80,0)</f>
        <v>0</v>
      </c>
    </row>
    <row r="81" spans="5:7">
      <c r="E81">
        <f>IF(A81="","",COUNTIF('Recruitment Funnel'!K:K,A81))</f>
        <v>0</v>
      </c>
      <c r="F81">
        <f>IF(A81="","",COUNTIFS('Recruitment Funnel'!K:K,A81,'Recruitment Funnel'!M:M,"Activated"))</f>
        <v>0</v>
      </c>
      <c r="G81" s="10">
        <f>IFERROR(F81/E81,0)</f>
        <v>0</v>
      </c>
    </row>
    <row r="82" spans="5:7">
      <c r="E82">
        <f>IF(A82="","",COUNTIF('Recruitment Funnel'!K:K,A82))</f>
        <v>0</v>
      </c>
      <c r="F82">
        <f>IF(A82="","",COUNTIFS('Recruitment Funnel'!K:K,A82,'Recruitment Funnel'!M:M,"Activated"))</f>
        <v>0</v>
      </c>
      <c r="G82" s="10">
        <f>IFERROR(F82/E82,0)</f>
        <v>0</v>
      </c>
    </row>
    <row r="83" spans="5:7">
      <c r="E83">
        <f>IF(A83="","",COUNTIF('Recruitment Funnel'!K:K,A83))</f>
        <v>0</v>
      </c>
      <c r="F83">
        <f>IF(A83="","",COUNTIFS('Recruitment Funnel'!K:K,A83,'Recruitment Funnel'!M:M,"Activated"))</f>
        <v>0</v>
      </c>
      <c r="G83" s="10">
        <f>IFERROR(F83/E83,0)</f>
        <v>0</v>
      </c>
    </row>
    <row r="84" spans="5:7">
      <c r="E84">
        <f>IF(A84="","",COUNTIF('Recruitment Funnel'!K:K,A84))</f>
        <v>0</v>
      </c>
      <c r="F84">
        <f>IF(A84="","",COUNTIFS('Recruitment Funnel'!K:K,A84,'Recruitment Funnel'!M:M,"Activated"))</f>
        <v>0</v>
      </c>
      <c r="G84" s="10">
        <f>IFERROR(F84/E84,0)</f>
        <v>0</v>
      </c>
    </row>
    <row r="85" spans="5:7">
      <c r="E85">
        <f>IF(A85="","",COUNTIF('Recruitment Funnel'!K:K,A85))</f>
        <v>0</v>
      </c>
      <c r="F85">
        <f>IF(A85="","",COUNTIFS('Recruitment Funnel'!K:K,A85,'Recruitment Funnel'!M:M,"Activated"))</f>
        <v>0</v>
      </c>
      <c r="G85" s="10">
        <f>IFERROR(F85/E85,0)</f>
        <v>0</v>
      </c>
    </row>
    <row r="86" spans="5:7">
      <c r="E86">
        <f>IF(A86="","",COUNTIF('Recruitment Funnel'!K:K,A86))</f>
        <v>0</v>
      </c>
      <c r="F86">
        <f>IF(A86="","",COUNTIFS('Recruitment Funnel'!K:K,A86,'Recruitment Funnel'!M:M,"Activated"))</f>
        <v>0</v>
      </c>
      <c r="G86" s="10">
        <f>IFERROR(F86/E86,0)</f>
        <v>0</v>
      </c>
    </row>
    <row r="87" spans="5:7">
      <c r="E87">
        <f>IF(A87="","",COUNTIF('Recruitment Funnel'!K:K,A87))</f>
        <v>0</v>
      </c>
      <c r="F87">
        <f>IF(A87="","",COUNTIFS('Recruitment Funnel'!K:K,A87,'Recruitment Funnel'!M:M,"Activated"))</f>
        <v>0</v>
      </c>
      <c r="G87" s="10">
        <f>IFERROR(F87/E87,0)</f>
        <v>0</v>
      </c>
    </row>
    <row r="88" spans="5:7">
      <c r="E88">
        <f>IF(A88="","",COUNTIF('Recruitment Funnel'!K:K,A88))</f>
        <v>0</v>
      </c>
      <c r="F88">
        <f>IF(A88="","",COUNTIFS('Recruitment Funnel'!K:K,A88,'Recruitment Funnel'!M:M,"Activated"))</f>
        <v>0</v>
      </c>
      <c r="G88" s="10">
        <f>IFERROR(F88/E88,0)</f>
        <v>0</v>
      </c>
    </row>
    <row r="89" spans="5:7">
      <c r="E89">
        <f>IF(A89="","",COUNTIF('Recruitment Funnel'!K:K,A89))</f>
        <v>0</v>
      </c>
      <c r="F89">
        <f>IF(A89="","",COUNTIFS('Recruitment Funnel'!K:K,A89,'Recruitment Funnel'!M:M,"Activated"))</f>
        <v>0</v>
      </c>
      <c r="G89" s="10">
        <f>IFERROR(F89/E89,0)</f>
        <v>0</v>
      </c>
    </row>
    <row r="90" spans="5:7">
      <c r="E90">
        <f>IF(A90="","",COUNTIF('Recruitment Funnel'!K:K,A90))</f>
        <v>0</v>
      </c>
      <c r="F90">
        <f>IF(A90="","",COUNTIFS('Recruitment Funnel'!K:K,A90,'Recruitment Funnel'!M:M,"Activated"))</f>
        <v>0</v>
      </c>
      <c r="G90" s="10">
        <f>IFERROR(F90/E90,0)</f>
        <v>0</v>
      </c>
    </row>
    <row r="91" spans="5:7">
      <c r="E91">
        <f>IF(A91="","",COUNTIF('Recruitment Funnel'!K:K,A91))</f>
        <v>0</v>
      </c>
      <c r="F91">
        <f>IF(A91="","",COUNTIFS('Recruitment Funnel'!K:K,A91,'Recruitment Funnel'!M:M,"Activated"))</f>
        <v>0</v>
      </c>
      <c r="G91" s="10">
        <f>IFERROR(F91/E91,0)</f>
        <v>0</v>
      </c>
    </row>
    <row r="92" spans="5:7">
      <c r="E92">
        <f>IF(A92="","",COUNTIF('Recruitment Funnel'!K:K,A92))</f>
        <v>0</v>
      </c>
      <c r="F92">
        <f>IF(A92="","",COUNTIFS('Recruitment Funnel'!K:K,A92,'Recruitment Funnel'!M:M,"Activated"))</f>
        <v>0</v>
      </c>
      <c r="G92" s="10">
        <f>IFERROR(F92/E92,0)</f>
        <v>0</v>
      </c>
    </row>
    <row r="93" spans="5:7">
      <c r="E93">
        <f>IF(A93="","",COUNTIF('Recruitment Funnel'!K:K,A93))</f>
        <v>0</v>
      </c>
      <c r="F93">
        <f>IF(A93="","",COUNTIFS('Recruitment Funnel'!K:K,A93,'Recruitment Funnel'!M:M,"Activated"))</f>
        <v>0</v>
      </c>
      <c r="G93" s="10">
        <f>IFERROR(F93/E93,0)</f>
        <v>0</v>
      </c>
    </row>
    <row r="94" spans="5:7">
      <c r="E94">
        <f>IF(A94="","",COUNTIF('Recruitment Funnel'!K:K,A94))</f>
        <v>0</v>
      </c>
      <c r="F94">
        <f>IF(A94="","",COUNTIFS('Recruitment Funnel'!K:K,A94,'Recruitment Funnel'!M:M,"Activated"))</f>
        <v>0</v>
      </c>
      <c r="G94" s="10">
        <f>IFERROR(F94/E94,0)</f>
        <v>0</v>
      </c>
    </row>
    <row r="95" spans="5:7">
      <c r="E95">
        <f>IF(A95="","",COUNTIF('Recruitment Funnel'!K:K,A95))</f>
        <v>0</v>
      </c>
      <c r="F95">
        <f>IF(A95="","",COUNTIFS('Recruitment Funnel'!K:K,A95,'Recruitment Funnel'!M:M,"Activated"))</f>
        <v>0</v>
      </c>
      <c r="G95" s="10">
        <f>IFERROR(F95/E95,0)</f>
        <v>0</v>
      </c>
    </row>
    <row r="96" spans="5:7">
      <c r="E96">
        <f>IF(A96="","",COUNTIF('Recruitment Funnel'!K:K,A96))</f>
        <v>0</v>
      </c>
      <c r="F96">
        <f>IF(A96="","",COUNTIFS('Recruitment Funnel'!K:K,A96,'Recruitment Funnel'!M:M,"Activated"))</f>
        <v>0</v>
      </c>
      <c r="G96" s="10">
        <f>IFERROR(F96/E96,0)</f>
        <v>0</v>
      </c>
    </row>
    <row r="97" spans="5:7">
      <c r="E97">
        <f>IF(A97="","",COUNTIF('Recruitment Funnel'!K:K,A97))</f>
        <v>0</v>
      </c>
      <c r="F97">
        <f>IF(A97="","",COUNTIFS('Recruitment Funnel'!K:K,A97,'Recruitment Funnel'!M:M,"Activated"))</f>
        <v>0</v>
      </c>
      <c r="G97" s="10">
        <f>IFERROR(F97/E97,0)</f>
        <v>0</v>
      </c>
    </row>
    <row r="98" spans="5:7">
      <c r="E98">
        <f>IF(A98="","",COUNTIF('Recruitment Funnel'!K:K,A98))</f>
        <v>0</v>
      </c>
      <c r="F98">
        <f>IF(A98="","",COUNTIFS('Recruitment Funnel'!K:K,A98,'Recruitment Funnel'!M:M,"Activated"))</f>
        <v>0</v>
      </c>
      <c r="G98" s="10">
        <f>IFERROR(F98/E98,0)</f>
        <v>0</v>
      </c>
    </row>
    <row r="99" spans="5:7">
      <c r="E99">
        <f>IF(A99="","",COUNTIF('Recruitment Funnel'!K:K,A99))</f>
        <v>0</v>
      </c>
      <c r="F99">
        <f>IF(A99="","",COUNTIFS('Recruitment Funnel'!K:K,A99,'Recruitment Funnel'!M:M,"Activated"))</f>
        <v>0</v>
      </c>
      <c r="G99" s="10">
        <f>IFERROR(F99/E99,0)</f>
        <v>0</v>
      </c>
    </row>
    <row r="100" spans="5:7">
      <c r="E100">
        <f>IF(A100="","",COUNTIF('Recruitment Funnel'!K:K,A100))</f>
        <v>0</v>
      </c>
      <c r="F100">
        <f>IF(A100="","",COUNTIFS('Recruitment Funnel'!K:K,A100,'Recruitment Funnel'!M:M,"Activated"))</f>
        <v>0</v>
      </c>
      <c r="G100" s="10">
        <f>IFERROR(F100/E100,0)</f>
        <v>0</v>
      </c>
    </row>
    <row r="101" spans="5:7">
      <c r="E101">
        <f>IF(A101="","",COUNTIF('Recruitment Funnel'!K:K,A101))</f>
        <v>0</v>
      </c>
      <c r="F101">
        <f>IF(A101="","",COUNTIFS('Recruitment Funnel'!K:K,A101,'Recruitment Funnel'!M:M,"Activated"))</f>
        <v>0</v>
      </c>
      <c r="G101" s="10">
        <f>IFERROR(F101/E101,0)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7" t="s">
        <v>78</v>
      </c>
      <c r="B1" s="7" t="s">
        <v>79</v>
      </c>
      <c r="C1" s="7" t="s">
        <v>89</v>
      </c>
      <c r="D1" s="7" t="s">
        <v>92</v>
      </c>
      <c r="E1" s="7" t="s">
        <v>98</v>
      </c>
      <c r="F1" s="7" t="s">
        <v>107</v>
      </c>
    </row>
    <row r="2" spans="1:6">
      <c r="A2" t="s">
        <v>53</v>
      </c>
      <c r="B2" t="s">
        <v>80</v>
      </c>
      <c r="C2" t="s">
        <v>90</v>
      </c>
      <c r="D2" t="s">
        <v>93</v>
      </c>
      <c r="E2" t="s">
        <v>99</v>
      </c>
      <c r="F2" t="s">
        <v>21</v>
      </c>
    </row>
    <row r="3" spans="1:6">
      <c r="A3" t="s">
        <v>46</v>
      </c>
      <c r="B3" t="s">
        <v>81</v>
      </c>
      <c r="C3" t="s">
        <v>91</v>
      </c>
      <c r="D3" t="s">
        <v>94</v>
      </c>
      <c r="E3" t="s">
        <v>29</v>
      </c>
      <c r="F3" t="s">
        <v>22</v>
      </c>
    </row>
    <row r="4" spans="1:6">
      <c r="A4" t="s">
        <v>54</v>
      </c>
      <c r="B4" t="s">
        <v>82</v>
      </c>
      <c r="D4" t="s">
        <v>95</v>
      </c>
      <c r="E4" t="s">
        <v>100</v>
      </c>
      <c r="F4" t="s">
        <v>108</v>
      </c>
    </row>
    <row r="5" spans="1:6">
      <c r="A5" t="s">
        <v>55</v>
      </c>
      <c r="B5" t="s">
        <v>83</v>
      </c>
      <c r="D5" t="s">
        <v>96</v>
      </c>
      <c r="E5" t="s">
        <v>101</v>
      </c>
      <c r="F5" t="s">
        <v>109</v>
      </c>
    </row>
    <row r="6" spans="1:6">
      <c r="A6" t="s">
        <v>56</v>
      </c>
      <c r="B6" t="s">
        <v>84</v>
      </c>
      <c r="D6" t="s">
        <v>97</v>
      </c>
      <c r="E6" t="s">
        <v>102</v>
      </c>
      <c r="F6" t="s">
        <v>110</v>
      </c>
    </row>
    <row r="7" spans="1:6">
      <c r="A7" t="s">
        <v>57</v>
      </c>
      <c r="B7" t="s">
        <v>85</v>
      </c>
      <c r="E7" t="s">
        <v>103</v>
      </c>
      <c r="F7" t="s">
        <v>111</v>
      </c>
    </row>
    <row r="8" spans="1:6">
      <c r="A8" t="s">
        <v>58</v>
      </c>
      <c r="B8" t="s">
        <v>86</v>
      </c>
      <c r="E8" t="s">
        <v>104</v>
      </c>
      <c r="F8" t="s">
        <v>112</v>
      </c>
    </row>
    <row r="9" spans="1:6">
      <c r="A9" t="s">
        <v>59</v>
      </c>
      <c r="B9" t="s">
        <v>87</v>
      </c>
      <c r="E9" t="s">
        <v>105</v>
      </c>
      <c r="F9" t="s">
        <v>113</v>
      </c>
    </row>
    <row r="10" spans="1:6">
      <c r="A10" t="s">
        <v>49</v>
      </c>
      <c r="B10" t="s">
        <v>88</v>
      </c>
      <c r="E10" t="s">
        <v>106</v>
      </c>
      <c r="F10" t="s">
        <v>114</v>
      </c>
    </row>
    <row r="11" spans="1:6">
      <c r="A11" t="s">
        <v>60</v>
      </c>
      <c r="E11" t="s">
        <v>88</v>
      </c>
      <c r="F11" t="s">
        <v>115</v>
      </c>
    </row>
    <row r="12" spans="1:6">
      <c r="A12" t="s">
        <v>61</v>
      </c>
      <c r="F12" t="s">
        <v>116</v>
      </c>
    </row>
    <row r="13" spans="1:6">
      <c r="F13" t="s">
        <v>117</v>
      </c>
    </row>
    <row r="14" spans="1:6">
      <c r="F1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Start Here</vt:lpstr>
      <vt:lpstr>Recruitment Funnel</vt:lpstr>
      <vt:lpstr>Dashboard</vt:lpstr>
      <vt:lpstr>Verification Log</vt:lpstr>
      <vt:lpstr>Source Performance</vt:lpstr>
      <vt:lpstr>Lists</vt:lpstr>
      <vt:lpstr>CheckList</vt:lpstr>
      <vt:lpstr>SourceList</vt:lpstr>
      <vt:lpstr>StageList</vt:lpstr>
      <vt:lpstr>TradeList</vt:lpstr>
      <vt:lpstr>VerificationTypeList</vt:lpstr>
      <vt:lpstr>YesNoList</vt:lpstr>
    </vt:vector>
  </TitlesOfParts>
  <Company>Handiwave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Handiwave Kaduna Professional Recruitment Funnel</dc:title>
  <dc:subject>Barnawa-Narayi founding professional pilot</dc:subject>
  <dc:creator/>
  <cp:lastModifiedBy/>
  <dcterms:created xsi:type="dcterms:W3CDTF">2026-10-07T21:12:20Z</dcterms:created>
  <dcterms:modified xsi:type="dcterms:W3CDTF">2026-10-07T21:12:20Z</dcterms:modified>
</cp:coreProperties>
</file>